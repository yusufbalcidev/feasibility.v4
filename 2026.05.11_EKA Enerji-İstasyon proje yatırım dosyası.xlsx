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mlakasansor-my.sharepoint.com/personal/yusuf_balci_ekaenerjiteknoloji_com_tr/Documents/Masaüstü/feasbiltynew/feasibility.v4/"/>
    </mc:Choice>
  </mc:AlternateContent>
  <xr:revisionPtr revIDLastSave="1019" documentId="11_AD4D0BC4A776854ACB15BCFBA654FAB6693EDF1E" xr6:coauthVersionLast="47" xr6:coauthVersionMax="47" xr10:uidLastSave="{99F8948E-420D-43CC-A5A2-F78C96F38019}"/>
  <bookViews>
    <workbookView xWindow="28680" yWindow="-120" windowWidth="29040" windowHeight="15720" activeTab="2" xr2:uid="{00000000-000D-0000-FFFF-FFFF00000000}"/>
  </bookViews>
  <sheets>
    <sheet name="Fizibilite" sheetId="1" r:id="rId1"/>
    <sheet name="Yatırım Geri Dönüş" sheetId="2" r:id="rId2"/>
    <sheet name="Düzeltilmiş Mode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F24" i="5"/>
  <c r="F23" i="5"/>
  <c r="F22" i="5"/>
  <c r="F21" i="5"/>
  <c r="F20" i="5"/>
  <c r="F19" i="5"/>
  <c r="F18" i="5"/>
  <c r="F17" i="5"/>
  <c r="D17" i="5"/>
  <c r="F16" i="5"/>
  <c r="D16" i="5"/>
  <c r="B10" i="5"/>
  <c r="B7" i="5"/>
  <c r="C7" i="1"/>
  <c r="C6" i="1"/>
  <c r="C31" i="1"/>
  <c r="B8" i="5" s="1"/>
  <c r="C4" i="1"/>
  <c r="C32" i="1"/>
  <c r="C19" i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C6" i="2"/>
  <c r="C7" i="2" s="1"/>
  <c r="H14" i="1"/>
  <c r="C24" i="1" s="1"/>
  <c r="C11" i="1"/>
  <c r="C12" i="1" s="1"/>
  <c r="C17" i="1"/>
  <c r="K18" i="2" s="1"/>
  <c r="D14" i="1"/>
  <c r="C5" i="1" s="1"/>
  <c r="C15" i="1"/>
  <c r="K11" i="2" s="1"/>
  <c r="D19" i="5" l="1"/>
  <c r="D24" i="5"/>
  <c r="D22" i="5"/>
  <c r="D20" i="5"/>
  <c r="D25" i="5"/>
  <c r="D18" i="5"/>
  <c r="D21" i="5"/>
  <c r="D23" i="5"/>
  <c r="C26" i="1"/>
  <c r="C27" i="1" s="1"/>
  <c r="H15" i="2"/>
  <c r="C15" i="2"/>
  <c r="N15" i="2"/>
  <c r="M15" i="2"/>
  <c r="I15" i="2"/>
  <c r="L15" i="2"/>
  <c r="K15" i="2"/>
  <c r="J15" i="2"/>
  <c r="G15" i="2"/>
  <c r="F15" i="2"/>
  <c r="C11" i="2"/>
  <c r="E15" i="2"/>
  <c r="C20" i="1"/>
  <c r="D15" i="2"/>
  <c r="N11" i="2"/>
  <c r="J11" i="2"/>
  <c r="I11" i="2"/>
  <c r="F11" i="2"/>
  <c r="E11" i="2"/>
  <c r="D11" i="2"/>
  <c r="I18" i="2"/>
  <c r="H11" i="2"/>
  <c r="J18" i="2"/>
  <c r="C8" i="1"/>
  <c r="G11" i="2"/>
  <c r="E18" i="2"/>
  <c r="C18" i="2"/>
  <c r="M11" i="2"/>
  <c r="H18" i="2"/>
  <c r="D18" i="2"/>
  <c r="M18" i="2"/>
  <c r="L18" i="2"/>
  <c r="L11" i="2"/>
  <c r="G18" i="2"/>
  <c r="F18" i="2"/>
  <c r="N18" i="2"/>
  <c r="P22" i="2" l="1"/>
  <c r="B5" i="5"/>
  <c r="E15" i="5" s="1"/>
  <c r="H8" i="2"/>
  <c r="H9" i="2" s="1"/>
  <c r="H12" i="2" s="1"/>
  <c r="G8" i="2"/>
  <c r="G9" i="2" s="1"/>
  <c r="G19" i="2" s="1"/>
  <c r="N8" i="2"/>
  <c r="N9" i="2" s="1"/>
  <c r="N12" i="2" s="1"/>
  <c r="J8" i="2"/>
  <c r="J9" i="2" s="1"/>
  <c r="J12" i="2" s="1"/>
  <c r="D8" i="2"/>
  <c r="D9" i="2" s="1"/>
  <c r="D12" i="2" s="1"/>
  <c r="K8" i="2"/>
  <c r="K9" i="2" s="1"/>
  <c r="K12" i="2" s="1"/>
  <c r="F8" i="2"/>
  <c r="F9" i="2" s="1"/>
  <c r="F12" i="2" s="1"/>
  <c r="L8" i="2"/>
  <c r="L9" i="2" s="1"/>
  <c r="L12" i="2" s="1"/>
  <c r="E8" i="2"/>
  <c r="E9" i="2" s="1"/>
  <c r="E12" i="2" s="1"/>
  <c r="M8" i="2"/>
  <c r="M9" i="2" s="1"/>
  <c r="M12" i="2" s="1"/>
  <c r="C8" i="2"/>
  <c r="C9" i="2" s="1"/>
  <c r="C19" i="2" s="1"/>
  <c r="I8" i="2"/>
  <c r="I9" i="2" s="1"/>
  <c r="I19" i="2" s="1"/>
  <c r="H19" i="2"/>
  <c r="G15" i="5" l="1"/>
  <c r="G12" i="2"/>
  <c r="G14" i="2" s="1"/>
  <c r="D19" i="2"/>
  <c r="J19" i="2"/>
  <c r="E19" i="2"/>
  <c r="I12" i="2"/>
  <c r="N19" i="2"/>
  <c r="C12" i="2"/>
  <c r="K19" i="2"/>
  <c r="M19" i="2"/>
  <c r="L19" i="2"/>
  <c r="F19" i="2"/>
  <c r="C14" i="2"/>
  <c r="C16" i="2" s="1"/>
  <c r="C21" i="2" s="1"/>
  <c r="F14" i="2"/>
  <c r="F16" i="2" s="1"/>
  <c r="E14" i="2"/>
  <c r="E16" i="2" s="1"/>
  <c r="H14" i="2"/>
  <c r="L14" i="2"/>
  <c r="N14" i="2"/>
  <c r="K14" i="2"/>
  <c r="I14" i="2"/>
  <c r="I16" i="2" s="1"/>
  <c r="M14" i="2"/>
  <c r="M16" i="2" s="1"/>
  <c r="D14" i="2"/>
  <c r="J14" i="2"/>
  <c r="J16" i="2" s="1"/>
  <c r="H15" i="5" l="1"/>
  <c r="M21" i="2"/>
  <c r="I21" i="2"/>
  <c r="K16" i="2"/>
  <c r="K21" i="2" s="1"/>
  <c r="G16" i="2"/>
  <c r="G21" i="2" s="1"/>
  <c r="L16" i="2"/>
  <c r="L21" i="2" s="1"/>
  <c r="E21" i="2"/>
  <c r="F21" i="2"/>
  <c r="N16" i="2"/>
  <c r="N21" i="2" s="1"/>
  <c r="J21" i="2"/>
  <c r="D16" i="2"/>
  <c r="D21" i="2" s="1"/>
  <c r="H16" i="2"/>
  <c r="H21" i="2" s="1"/>
  <c r="O22" i="2" l="1"/>
  <c r="Q22" i="2" l="1"/>
  <c r="B31" i="5" s="1"/>
  <c r="B6" i="5"/>
  <c r="B21" i="5" l="1"/>
  <c r="B19" i="5"/>
  <c r="B17" i="5"/>
  <c r="B24" i="5"/>
  <c r="B22" i="5"/>
  <c r="B20" i="5"/>
  <c r="B18" i="5"/>
  <c r="B16" i="5"/>
  <c r="B25" i="5"/>
  <c r="B23" i="5"/>
  <c r="C16" i="5" l="1"/>
  <c r="E16" i="5"/>
  <c r="C20" i="5"/>
  <c r="E20" i="5" s="1"/>
  <c r="G20" i="5" s="1"/>
  <c r="C22" i="5"/>
  <c r="E22" i="5" s="1"/>
  <c r="G22" i="5" s="1"/>
  <c r="C23" i="5"/>
  <c r="E23" i="5" s="1"/>
  <c r="G23" i="5" s="1"/>
  <c r="C24" i="5"/>
  <c r="E24" i="5" s="1"/>
  <c r="G24" i="5" s="1"/>
  <c r="C25" i="5"/>
  <c r="E25" i="5" s="1"/>
  <c r="C18" i="5"/>
  <c r="E18" i="5" s="1"/>
  <c r="G18" i="5" s="1"/>
  <c r="C17" i="5"/>
  <c r="E17" i="5" s="1"/>
  <c r="G17" i="5" s="1"/>
  <c r="C19" i="5"/>
  <c r="E19" i="5"/>
  <c r="G19" i="5" s="1"/>
  <c r="C21" i="5"/>
  <c r="E21" i="5" s="1"/>
  <c r="G21" i="5" s="1"/>
  <c r="B30" i="5" l="1"/>
  <c r="B29" i="5"/>
  <c r="G25" i="5"/>
  <c r="G16" i="5"/>
  <c r="H16" i="5" l="1"/>
  <c r="H17" i="5" s="1"/>
  <c r="H18" i="5" s="1"/>
  <c r="H19" i="5" s="1"/>
  <c r="H20" i="5" s="1"/>
  <c r="H21" i="5" s="1"/>
  <c r="H22" i="5" s="1"/>
  <c r="H23" i="5" s="1"/>
  <c r="H24" i="5" s="1"/>
  <c r="H25" i="5" s="1"/>
  <c r="B32" i="5" s="1"/>
  <c r="B28" i="5"/>
</calcChain>
</file>

<file path=xl/sharedStrings.xml><?xml version="1.0" encoding="utf-8"?>
<sst xmlns="http://schemas.openxmlformats.org/spreadsheetml/2006/main" count="106" uniqueCount="104">
  <si>
    <t>$ Kuru</t>
  </si>
  <si>
    <t>€ Kuru</t>
  </si>
  <si>
    <t>Yıllık TL Enflasyonu</t>
  </si>
  <si>
    <t>Yıllık $ Enflasyonu</t>
  </si>
  <si>
    <t>Yıllık € Enflasyonu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</si>
  <si>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</si>
  <si>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</si>
  <si>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</si>
  <si>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</si>
  <si>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</si>
  <si>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</si>
  <si>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</si>
  <si>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</si>
  <si>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</si>
  <si>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</si>
  <si>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</si>
  <si>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</si>
  <si>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</si>
  <si>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Araç Şarj İstasyonu Bedeli $</t>
  </si>
  <si>
    <t>cihaz/€</t>
  </si>
  <si>
    <t>Elektrik Maliyeti $ /MWh</t>
  </si>
  <si>
    <t>Yer Sağlayıcı Proje Giriş Bedeli $</t>
  </si>
  <si>
    <t>Altyapı Yatırım Bedeli $</t>
  </si>
  <si>
    <t>Aylık Kira Bedeli $</t>
  </si>
  <si>
    <t>Gün Sayıları</t>
  </si>
  <si>
    <t>Aylık Cihaz Başına Satış MWh</t>
  </si>
  <si>
    <t>Aylık Cihaz Başına Satış kwh</t>
  </si>
  <si>
    <t>Geri Dönüş Süresi Yıl</t>
  </si>
  <si>
    <t>Cihaz Başına Yıllık Toplam Brüt Kar</t>
  </si>
  <si>
    <t>Cihaz Başına Yatırım</t>
  </si>
  <si>
    <t>Cihaz Başına Yatırım $</t>
  </si>
  <si>
    <t>Yıllık toplam kira Bedeli $</t>
  </si>
  <si>
    <t>Elektrik Maliyeti TL/MWh</t>
  </si>
  <si>
    <t>DC Satış Fiyatı $/MWh</t>
  </si>
  <si>
    <t>DC Satış Fiyatı TL/MWh</t>
  </si>
  <si>
    <t>TL/ay</t>
  </si>
  <si>
    <t>Cihaz Başına Günlük Toplam Satış (kwh)</t>
  </si>
  <si>
    <t>1 kerede yapılacak Ort Şarjlanma (kwh)</t>
  </si>
  <si>
    <t>Yer Sağlayıcı Komisyonu (Ciro)</t>
  </si>
  <si>
    <t>Yer Sağlayıcı Komisyonu (Kar)</t>
  </si>
  <si>
    <t>Satış Fiyatı $/MWh</t>
  </si>
  <si>
    <t>Elektrik Maliyeti $/MWh</t>
  </si>
  <si>
    <t>Cihaz Başına Aylık Brüt Kar $</t>
  </si>
  <si>
    <t>Aylık İstasyon Ciro Satış Geliri $</t>
  </si>
  <si>
    <t>Aylık İstasyon Elektrik Maliyeti $</t>
  </si>
  <si>
    <t>Aylık yer sağlayıcı Komisyonu tutarı $</t>
  </si>
  <si>
    <t>Yer Sağlayıcı Komisyonu Düşmüş Ciro</t>
  </si>
  <si>
    <t>trafo ve kablo dahil</t>
  </si>
  <si>
    <t>Soket Başına Günlük Şarjlanma Sayısı (ortalama)</t>
  </si>
  <si>
    <t>Yıllar</t>
  </si>
  <si>
    <t>Günlük Soket Başı Şarjlanma</t>
  </si>
  <si>
    <t>Soket Başına Günlük Toplam Satış (kwh)</t>
  </si>
  <si>
    <t>Kayıp Gün Sayısı</t>
  </si>
  <si>
    <t>Bakım ve Operasyonel Gider</t>
  </si>
  <si>
    <t>Finans Maliyeti</t>
  </si>
  <si>
    <t>Reklam Geliri</t>
  </si>
  <si>
    <t>Net Operasyonel Gün Sayısı</t>
  </si>
  <si>
    <t>Aylık Kira Bedeli</t>
  </si>
  <si>
    <t>Alım - Satım Karı TL/MWh</t>
  </si>
  <si>
    <t>Alım - Satım Karı $/MWh</t>
  </si>
  <si>
    <t>Ort. Şarjlanma</t>
  </si>
  <si>
    <t>Cihaz Sayısı</t>
  </si>
  <si>
    <t>DC Cihaz için soket sayısı</t>
  </si>
  <si>
    <t>Parite</t>
  </si>
  <si>
    <t>TL/cihaz</t>
  </si>
  <si>
    <t>Reel Getiri TL</t>
  </si>
  <si>
    <t>Renkli kutucuklar değiştirilebilir</t>
  </si>
  <si>
    <t>Sabitler</t>
  </si>
  <si>
    <t>Yıllara Göre $ Kuru</t>
  </si>
  <si>
    <t>Değişkenler</t>
  </si>
  <si>
    <t>No</t>
  </si>
  <si>
    <t>Açıklama</t>
  </si>
  <si>
    <t>Miktar/Sayı</t>
  </si>
  <si>
    <t>Yıllara Göre TL Enflasyon Tahmini</t>
  </si>
  <si>
    <t>Yıllara Göre $ Enflasyonu</t>
  </si>
  <si>
    <t>Garanti sonrası bakım Anlaşması Tutarı (yıllık)</t>
  </si>
  <si>
    <t>aylık bakım (yıl/12) $</t>
  </si>
  <si>
    <t>DEĞİŞKENLER</t>
  </si>
  <si>
    <t>VARSAYIMLAR</t>
  </si>
  <si>
    <t>DÜZELTİLMİŞ ÇOK YILLI FİZİBİLİTE MODELİ</t>
  </si>
  <si>
    <t>Toplam Yatirim (1.yil, USD)</t>
  </si>
  <si>
    <t>Yil-1 Brut Kar (USD, mevcut model)</t>
  </si>
  <si>
    <t>Opex Orani (Brut Kar uzerinden)</t>
  </si>
  <si>
    <t>Yillik Bakim Anlasmasi (USD)</t>
  </si>
  <si>
    <t>Garanti Suresi (yil, bakim=0)</t>
  </si>
  <si>
    <t>Yillik USD Enflasyonu (gelir+gider)</t>
  </si>
  <si>
    <t>Iskonto Orani (NPV, USD bazli)</t>
  </si>
  <si>
    <t>YIL</t>
  </si>
  <si>
    <t>Iskonto Faktoru</t>
  </si>
  <si>
    <t>0 (Yatirim)</t>
  </si>
  <si>
    <t>SONUCLAR</t>
  </si>
  <si>
    <t>IRR (10 yil, USD)</t>
  </si>
  <si>
    <t>Nominal Net Kar Toplami (USD)</t>
  </si>
  <si>
    <t>ESKI MODEL Geri Donus (yil)</t>
  </si>
  <si>
    <t>Net Kar (opex+bakim dusulmus) + Enflasyon + NPV/IRR + Gercek basabas</t>
  </si>
  <si>
    <t>Brut Kar</t>
  </si>
  <si>
    <t>Opex</t>
  </si>
  <si>
    <t>Bakim</t>
  </si>
  <si>
    <t>Net Nakit Akisi</t>
  </si>
  <si>
    <t>Bugunku Deger</t>
  </si>
  <si>
    <t>Kumulatif BD</t>
  </si>
  <si>
    <t>NPV (10 yil, iskontolu USD)</t>
  </si>
  <si>
    <t>Kumulatif BD 10 yil sonunda (USD)</t>
  </si>
  <si>
    <t>NOT: H25 negatifse yatirim 10 yilda geri donmuyor demektir.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</si>
</sst>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/>
    <xf numFmtId="3" fontId="0" fillId="0" borderId="0" xfId="0" applyNumberFormat="1"/>
    <xf numFmtId="9" fontId="0" fillId="0" borderId="0" xfId="0" applyNumberFormat="1"/>
    <xf numFmtId="2" fontId="0" fillId="0" borderId="0" xfId="0" applyNumberFormat="1"/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workbookViewId="0">
      <selection activeCell="D36" sqref="D36"/>
    </sheetView>
  </sheetViews>
  <sheetFormatPr defaultRowHeight="14.4" x14ac:dyDescent="0.3"/>
  <cols>
    <col min="1" max="1" width="8.88671875" style="1"/>
    <col min="2" max="2" width="40.44140625" style="2" bestFit="1" customWidth="1"/>
    <col min="3" max="3" width="12" style="1" bestFit="1" customWidth="1"/>
    <col min="4" max="4" width="10.88671875" style="1" bestFit="1" customWidth="1"/>
    <col min="5" max="5" width="17.77734375" style="2" bestFit="1" customWidth="1"/>
    <col min="6" max="6" width="14.5546875" style="2" bestFit="1" customWidth="1"/>
    <col min="7" max="7" width="13.21875" style="1" bestFit="1" customWidth="1"/>
    <col min="8" max="8" width="25.21875" style="1" bestFit="1" customWidth="1"/>
    <col min="9" max="9" width="16.33203125" style="1" customWidth="1"/>
    <col min="10" max="10" width="26.44140625" style="1" bestFit="1" customWidth="1"/>
    <col min="11" max="11" width="21.5546875" style="1" bestFit="1" customWidth="1"/>
    <col min="12" max="17" width="8.88671875" style="1"/>
    <col min="18" max="16384" width="8.88671875" style="2"/>
  </cols>
  <sheetData>
    <row r="1" spans="1:19" x14ac:dyDescent="0.3">
      <c r="A1" s="35" t="s">
        <v>77</v>
      </c>
      <c r="B1" s="35"/>
      <c r="C1" s="35"/>
      <c r="D1" s="35"/>
      <c r="E1" s="35"/>
      <c r="H1" s="22" t="s">
        <v>66</v>
      </c>
    </row>
    <row r="2" spans="1:19" x14ac:dyDescent="0.3">
      <c r="A2" s="30" t="s">
        <v>70</v>
      </c>
      <c r="B2" s="30" t="s">
        <v>69</v>
      </c>
      <c r="C2" s="30" t="s">
        <v>72</v>
      </c>
      <c r="D2" s="30" t="s">
        <v>72</v>
      </c>
      <c r="E2" s="30" t="s">
        <v>71</v>
      </c>
    </row>
    <row r="3" spans="1:19" x14ac:dyDescent="0.3">
      <c r="A3" s="1">
        <v>1</v>
      </c>
      <c r="B3" s="2" t="s">
        <v>61</v>
      </c>
      <c r="C3" s="22">
        <v>1</v>
      </c>
      <c r="G3" s="13" t="s">
        <v>49</v>
      </c>
      <c r="H3" s="27" t="s">
        <v>50</v>
      </c>
      <c r="I3" s="27" t="s">
        <v>68</v>
      </c>
      <c r="J3" s="27" t="s">
        <v>73</v>
      </c>
      <c r="K3" s="27" t="s">
        <v>74</v>
      </c>
    </row>
    <row r="4" spans="1:19" x14ac:dyDescent="0.3">
      <c r="A4" s="1">
        <v>2</v>
      </c>
      <c r="B4" s="11" t="s">
        <v>62</v>
      </c>
      <c r="C4" s="23">
        <f>C3*G18</f>
        <v>2</v>
      </c>
      <c r="D4" s="17"/>
      <c r="E4" s="11"/>
      <c r="G4" s="1">
        <v>2026</v>
      </c>
      <c r="H4" s="4">
        <v>3</v>
      </c>
    </row>
    <row r="5" spans="1:19" x14ac:dyDescent="0.3">
      <c r="A5" s="1">
        <v>3</v>
      </c>
      <c r="B5" s="2" t="s">
        <v>18</v>
      </c>
      <c r="C5" s="4">
        <f>D5*D14*C3</f>
        <v>35361.392684001767</v>
      </c>
      <c r="D5" s="20">
        <v>30000</v>
      </c>
      <c r="E5" s="2" t="s">
        <v>19</v>
      </c>
      <c r="G5" s="1">
        <v>2027</v>
      </c>
      <c r="H5" s="4">
        <v>4</v>
      </c>
      <c r="K5" s="5"/>
      <c r="L5" s="5"/>
      <c r="M5" s="5"/>
      <c r="N5" s="5"/>
      <c r="O5" s="5"/>
      <c r="P5" s="5"/>
      <c r="Q5" s="5"/>
      <c r="R5" s="5"/>
      <c r="S5" s="5"/>
    </row>
    <row r="6" spans="1:19" x14ac:dyDescent="0.3">
      <c r="A6" s="1">
        <v>4</v>
      </c>
      <c r="B6" s="2" t="s">
        <v>21</v>
      </c>
      <c r="C6" s="4">
        <f>D6/C13*C3</f>
        <v>58395.769061260464</v>
      </c>
      <c r="D6" s="20">
        <v>2650000</v>
      </c>
      <c r="E6" s="2" t="s">
        <v>64</v>
      </c>
      <c r="G6" s="1">
        <v>2028</v>
      </c>
      <c r="H6" s="4">
        <v>5</v>
      </c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1">
        <v>5</v>
      </c>
      <c r="B7" s="2" t="s">
        <v>22</v>
      </c>
      <c r="C7" s="4">
        <f>D7/C13*C3</f>
        <v>27545.174085500217</v>
      </c>
      <c r="D7" s="20">
        <v>1250000</v>
      </c>
      <c r="E7" s="2" t="s">
        <v>47</v>
      </c>
      <c r="G7" s="1">
        <v>2029</v>
      </c>
      <c r="H7" s="4">
        <v>6</v>
      </c>
      <c r="J7" s="2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1">
        <v>6</v>
      </c>
      <c r="B8" s="11" t="s">
        <v>30</v>
      </c>
      <c r="C8" s="15">
        <f>SUM(C5:C7)</f>
        <v>121302.33583076244</v>
      </c>
      <c r="D8" s="15"/>
      <c r="E8" s="11"/>
      <c r="G8" s="1">
        <v>2030</v>
      </c>
      <c r="H8" s="4">
        <v>7</v>
      </c>
      <c r="J8" s="2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1">
        <v>7</v>
      </c>
      <c r="B9" s="2" t="s">
        <v>38</v>
      </c>
      <c r="C9" s="21">
        <v>0.15</v>
      </c>
      <c r="D9" s="4"/>
      <c r="G9" s="1">
        <v>2031</v>
      </c>
      <c r="H9" s="4">
        <v>8</v>
      </c>
      <c r="J9" s="2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1">
        <v>8</v>
      </c>
      <c r="B10" s="2" t="s">
        <v>39</v>
      </c>
      <c r="C10" s="4">
        <v>0</v>
      </c>
      <c r="D10" s="4"/>
      <c r="G10" s="1">
        <v>2032</v>
      </c>
      <c r="H10" s="4">
        <v>9</v>
      </c>
      <c r="J10" s="2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1">
        <v>9</v>
      </c>
      <c r="B11" s="2" t="s">
        <v>23</v>
      </c>
      <c r="C11" s="8">
        <f>D11/C13</f>
        <v>74.922873512560599</v>
      </c>
      <c r="D11" s="20">
        <v>3400</v>
      </c>
      <c r="E11" s="2" t="s">
        <v>35</v>
      </c>
      <c r="G11" s="1">
        <v>2033</v>
      </c>
      <c r="H11" s="4">
        <v>10</v>
      </c>
      <c r="J11" s="2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1">
        <v>10</v>
      </c>
      <c r="B12" s="11" t="s">
        <v>31</v>
      </c>
      <c r="C12" s="16">
        <f>C11*G20</f>
        <v>899.07448215072714</v>
      </c>
      <c r="D12" s="17"/>
      <c r="E12" s="11"/>
      <c r="G12" s="1">
        <v>2034</v>
      </c>
      <c r="H12" s="4">
        <v>11</v>
      </c>
      <c r="J12" s="2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1">
        <v>11</v>
      </c>
      <c r="B13" s="2" t="s">
        <v>0</v>
      </c>
      <c r="C13" s="22">
        <v>45.38</v>
      </c>
      <c r="G13" s="1">
        <v>2035</v>
      </c>
      <c r="H13" s="4">
        <v>12</v>
      </c>
      <c r="J13" s="2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1">
        <v>12</v>
      </c>
      <c r="B14" s="11" t="s">
        <v>1</v>
      </c>
      <c r="C14" s="23">
        <v>53.49</v>
      </c>
      <c r="D14" s="16">
        <f>C14/C13</f>
        <v>1.1787130894667255</v>
      </c>
      <c r="E14" s="11" t="s">
        <v>63</v>
      </c>
      <c r="G14" s="5" t="s">
        <v>60</v>
      </c>
      <c r="H14" s="26">
        <f>AVERAGE(H4:H13)</f>
        <v>7.5</v>
      </c>
      <c r="J14" s="2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1">
        <v>13</v>
      </c>
      <c r="B15" s="2" t="s">
        <v>33</v>
      </c>
      <c r="C15" s="8">
        <f>C16/C13</f>
        <v>242.39753195240192</v>
      </c>
      <c r="G15" s="2"/>
      <c r="J15" s="2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A16" s="1">
        <v>14</v>
      </c>
      <c r="B16" s="11" t="s">
        <v>34</v>
      </c>
      <c r="C16" s="25">
        <v>11000</v>
      </c>
      <c r="D16" s="17"/>
      <c r="E16" s="11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s="1">
        <v>15</v>
      </c>
      <c r="B17" s="2" t="s">
        <v>20</v>
      </c>
      <c r="C17" s="8">
        <f>C18/C13</f>
        <v>154.25297487880121</v>
      </c>
      <c r="G17" s="27" t="s">
        <v>67</v>
      </c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1">
        <v>16</v>
      </c>
      <c r="B18" s="11" t="s">
        <v>32</v>
      </c>
      <c r="C18" s="25">
        <v>7000</v>
      </c>
      <c r="D18" s="17"/>
      <c r="E18" s="11"/>
      <c r="G18" s="1">
        <v>2</v>
      </c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s="1">
        <v>17</v>
      </c>
      <c r="B19" s="2" t="s">
        <v>58</v>
      </c>
      <c r="C19" s="4">
        <f>C16-C18</f>
        <v>4000</v>
      </c>
      <c r="F19" s="8"/>
      <c r="G19" s="4">
        <v>1000</v>
      </c>
      <c r="H19" s="2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1">
        <v>18</v>
      </c>
      <c r="B20" s="11" t="s">
        <v>59</v>
      </c>
      <c r="C20" s="16">
        <f>C15-C17</f>
        <v>88.144557073600708</v>
      </c>
      <c r="D20" s="17"/>
      <c r="E20" s="11"/>
      <c r="G20" s="29">
        <v>12</v>
      </c>
      <c r="H20" s="2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s="1">
        <v>19</v>
      </c>
      <c r="B21" s="2" t="s">
        <v>2</v>
      </c>
      <c r="C21" s="18">
        <v>0.3</v>
      </c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s="1">
        <v>20</v>
      </c>
      <c r="B22" s="2" t="s">
        <v>3</v>
      </c>
      <c r="C22" s="18">
        <v>0.05</v>
      </c>
      <c r="K22" s="4"/>
      <c r="L22" s="4"/>
      <c r="M22" s="4"/>
      <c r="N22" s="4"/>
      <c r="O22" s="4"/>
      <c r="P22" s="4"/>
      <c r="Q22" s="4"/>
      <c r="R22" s="4"/>
      <c r="S22" s="1"/>
    </row>
    <row r="23" spans="1:19" x14ac:dyDescent="0.3">
      <c r="A23" s="1">
        <v>21</v>
      </c>
      <c r="B23" s="11" t="s">
        <v>4</v>
      </c>
      <c r="C23" s="19">
        <v>0.06</v>
      </c>
      <c r="D23" s="17"/>
      <c r="E23" s="11"/>
      <c r="K23" s="4"/>
      <c r="L23" s="4"/>
      <c r="M23" s="4"/>
      <c r="N23" s="4"/>
      <c r="O23" s="4"/>
      <c r="P23" s="4"/>
      <c r="Q23" s="4"/>
      <c r="R23" s="4"/>
      <c r="S23" s="1"/>
    </row>
    <row r="24" spans="1:19" x14ac:dyDescent="0.3">
      <c r="A24" s="1">
        <v>22</v>
      </c>
      <c r="B24" s="2" t="s">
        <v>48</v>
      </c>
      <c r="C24" s="24">
        <f>H14</f>
        <v>7.5</v>
      </c>
      <c r="K24" s="4"/>
      <c r="L24" s="4"/>
      <c r="M24" s="4"/>
      <c r="N24" s="4"/>
      <c r="O24" s="4"/>
      <c r="P24" s="4"/>
      <c r="Q24" s="4"/>
      <c r="R24" s="4"/>
      <c r="S24" s="1"/>
    </row>
    <row r="25" spans="1:19" x14ac:dyDescent="0.3">
      <c r="A25" s="1">
        <v>23</v>
      </c>
      <c r="B25" s="2" t="s">
        <v>37</v>
      </c>
      <c r="C25" s="22">
        <v>30</v>
      </c>
      <c r="K25" s="4"/>
      <c r="L25" s="4"/>
      <c r="M25" s="4"/>
      <c r="N25" s="4"/>
      <c r="O25" s="4"/>
      <c r="P25" s="4"/>
      <c r="Q25" s="4"/>
      <c r="R25" s="4"/>
      <c r="S25" s="1"/>
    </row>
    <row r="26" spans="1:19" x14ac:dyDescent="0.3">
      <c r="A26" s="1">
        <v>24</v>
      </c>
      <c r="B26" s="2" t="s">
        <v>51</v>
      </c>
      <c r="C26" s="1">
        <f>C24*C25</f>
        <v>225</v>
      </c>
      <c r="K26" s="4"/>
      <c r="L26" s="4"/>
      <c r="M26" s="4"/>
      <c r="N26" s="4"/>
      <c r="O26" s="4"/>
      <c r="P26" s="4"/>
      <c r="Q26" s="4"/>
      <c r="R26" s="4"/>
      <c r="S26" s="1"/>
    </row>
    <row r="27" spans="1:19" x14ac:dyDescent="0.3">
      <c r="A27" s="1">
        <v>25</v>
      </c>
      <c r="B27" s="11" t="s">
        <v>36</v>
      </c>
      <c r="C27" s="17">
        <f>C26*C4</f>
        <v>450</v>
      </c>
      <c r="D27" s="17"/>
      <c r="E27" s="11"/>
      <c r="K27" s="4"/>
      <c r="L27" s="4"/>
      <c r="M27" s="4"/>
      <c r="N27" s="4"/>
      <c r="O27" s="4"/>
      <c r="P27" s="4"/>
      <c r="Q27" s="4"/>
      <c r="R27" s="4"/>
      <c r="S27" s="1"/>
    </row>
    <row r="28" spans="1:19" x14ac:dyDescent="0.3">
      <c r="A28" s="1">
        <v>26</v>
      </c>
      <c r="B28" s="2" t="s">
        <v>52</v>
      </c>
      <c r="C28" s="21">
        <v>0.05</v>
      </c>
      <c r="K28" s="4"/>
      <c r="L28" s="4"/>
      <c r="M28" s="4"/>
      <c r="N28" s="4"/>
      <c r="O28" s="4"/>
      <c r="P28" s="4"/>
      <c r="Q28" s="4"/>
      <c r="R28" s="4"/>
      <c r="S28" s="1"/>
    </row>
    <row r="29" spans="1:19" x14ac:dyDescent="0.3">
      <c r="A29" s="1">
        <v>27</v>
      </c>
      <c r="B29" s="2" t="s">
        <v>53</v>
      </c>
      <c r="C29" s="21">
        <v>0.2</v>
      </c>
    </row>
    <row r="30" spans="1:19" x14ac:dyDescent="0.3">
      <c r="A30" s="1">
        <v>28</v>
      </c>
      <c r="B30" s="2" t="s">
        <v>54</v>
      </c>
      <c r="C30" s="22">
        <v>0</v>
      </c>
    </row>
    <row r="31" spans="1:19" x14ac:dyDescent="0.3">
      <c r="A31" s="1">
        <v>29</v>
      </c>
      <c r="B31" s="2" t="s">
        <v>75</v>
      </c>
      <c r="C31" s="4">
        <f>D31*G20</f>
        <v>1200</v>
      </c>
      <c r="D31" s="22">
        <v>100</v>
      </c>
      <c r="E31" s="2" t="s">
        <v>76</v>
      </c>
    </row>
    <row r="32" spans="1:19" x14ac:dyDescent="0.3">
      <c r="A32" s="1">
        <v>30</v>
      </c>
      <c r="B32" s="2" t="s">
        <v>65</v>
      </c>
      <c r="C32" s="1">
        <f>(1+0.4)/(1+0.35)-1</f>
        <v>3.7037037037036979E-2</v>
      </c>
      <c r="D32" s="2"/>
    </row>
    <row r="33" spans="1:5" x14ac:dyDescent="0.3">
      <c r="A33" s="1">
        <v>31</v>
      </c>
      <c r="B33" s="11" t="s">
        <v>55</v>
      </c>
      <c r="C33" s="23">
        <v>0</v>
      </c>
      <c r="D33" s="17"/>
      <c r="E33" s="11"/>
    </row>
  </sheetData>
  <mergeCells count="1"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61EF-51FA-49FD-9F50-EE99BABFD0EA}">
  <dimension ref="A1:V40"/>
  <sheetViews>
    <sheetView workbookViewId="0">
      <selection activeCell="C21" sqref="C21"/>
    </sheetView>
  </sheetViews>
  <sheetFormatPr defaultRowHeight="14.4" x14ac:dyDescent="0.3"/>
  <cols>
    <col min="1" max="1" width="5.5546875" style="2" bestFit="1" customWidth="1"/>
    <col min="2" max="2" width="31.21875" style="2" bestFit="1" customWidth="1"/>
    <col min="3" max="14" width="8.88671875" style="1"/>
    <col min="15" max="15" width="29.21875" style="2" bestFit="1" customWidth="1"/>
    <col min="16" max="16" width="17.5546875" style="2" bestFit="1" customWidth="1"/>
    <col min="17" max="17" width="17.6640625" style="2" bestFit="1" customWidth="1"/>
    <col min="18" max="16384" width="8.88671875" style="2"/>
  </cols>
  <sheetData>
    <row r="1" spans="1:16" x14ac:dyDescent="0.3">
      <c r="A1" s="28">
        <v>1000</v>
      </c>
    </row>
    <row r="2" spans="1:16" x14ac:dyDescent="0.3">
      <c r="B2" s="5">
        <v>2026</v>
      </c>
      <c r="P2" s="3"/>
    </row>
    <row r="3" spans="1:16" x14ac:dyDescent="0.3">
      <c r="B3" s="13" t="s">
        <v>17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</row>
    <row r="4" spans="1:16" x14ac:dyDescent="0.3">
      <c r="B4" s="6"/>
    </row>
    <row r="5" spans="1:16" x14ac:dyDescent="0.3">
      <c r="B5" s="6" t="s">
        <v>24</v>
      </c>
      <c r="C5" s="1">
        <v>31</v>
      </c>
      <c r="D5" s="1">
        <v>28</v>
      </c>
      <c r="E5" s="1">
        <v>31</v>
      </c>
      <c r="F5" s="1">
        <v>30</v>
      </c>
      <c r="G5" s="1">
        <v>31</v>
      </c>
      <c r="H5" s="1">
        <v>30</v>
      </c>
      <c r="I5" s="1">
        <v>31</v>
      </c>
      <c r="J5" s="1">
        <v>31</v>
      </c>
      <c r="K5" s="1">
        <v>30</v>
      </c>
      <c r="L5" s="1">
        <v>31</v>
      </c>
      <c r="M5" s="1">
        <v>30</v>
      </c>
      <c r="N5" s="1">
        <v>31</v>
      </c>
    </row>
    <row r="6" spans="1:16" x14ac:dyDescent="0.3">
      <c r="B6" s="2" t="s">
        <v>52</v>
      </c>
      <c r="C6" s="1">
        <f>C5*Fizibilite!$C$28</f>
        <v>1.55</v>
      </c>
      <c r="D6" s="1">
        <f>D5*Fizibilite!$C$28</f>
        <v>1.4000000000000001</v>
      </c>
      <c r="E6" s="1">
        <f>E5*Fizibilite!$C$28</f>
        <v>1.55</v>
      </c>
      <c r="F6" s="1">
        <f>F5*Fizibilite!$C$28</f>
        <v>1.5</v>
      </c>
      <c r="G6" s="1">
        <f>G5*Fizibilite!$C$28</f>
        <v>1.55</v>
      </c>
      <c r="H6" s="1">
        <f>H5*Fizibilite!$C$28</f>
        <v>1.5</v>
      </c>
      <c r="I6" s="1">
        <f>I5*Fizibilite!$C$28</f>
        <v>1.55</v>
      </c>
      <c r="J6" s="1">
        <f>J5*Fizibilite!$C$28</f>
        <v>1.55</v>
      </c>
      <c r="K6" s="1">
        <f>K5*Fizibilite!$C$28</f>
        <v>1.5</v>
      </c>
      <c r="L6" s="1">
        <f>L5*Fizibilite!$C$28</f>
        <v>1.55</v>
      </c>
      <c r="M6" s="1">
        <f>M5*Fizibilite!$C$28</f>
        <v>1.5</v>
      </c>
      <c r="N6" s="1">
        <f>N5*Fizibilite!$C$28</f>
        <v>1.55</v>
      </c>
    </row>
    <row r="7" spans="1:16" x14ac:dyDescent="0.3">
      <c r="B7" s="6" t="s">
        <v>56</v>
      </c>
      <c r="C7" s="1">
        <f>C5-C6</f>
        <v>29.45</v>
      </c>
      <c r="D7" s="1">
        <f t="shared" ref="D7:N7" si="0">D5-D6</f>
        <v>26.6</v>
      </c>
      <c r="E7" s="1">
        <f t="shared" si="0"/>
        <v>29.45</v>
      </c>
      <c r="F7" s="1">
        <f t="shared" si="0"/>
        <v>28.5</v>
      </c>
      <c r="G7" s="1">
        <f t="shared" si="0"/>
        <v>29.45</v>
      </c>
      <c r="H7" s="1">
        <f t="shared" si="0"/>
        <v>28.5</v>
      </c>
      <c r="I7" s="1">
        <f t="shared" si="0"/>
        <v>29.45</v>
      </c>
      <c r="J7" s="1">
        <f t="shared" si="0"/>
        <v>29.45</v>
      </c>
      <c r="K7" s="1">
        <f t="shared" si="0"/>
        <v>28.5</v>
      </c>
      <c r="L7" s="1">
        <f t="shared" si="0"/>
        <v>29.45</v>
      </c>
      <c r="M7" s="1">
        <f t="shared" si="0"/>
        <v>28.5</v>
      </c>
      <c r="N7" s="1">
        <f t="shared" si="0"/>
        <v>29.45</v>
      </c>
    </row>
    <row r="8" spans="1:16" x14ac:dyDescent="0.3">
      <c r="B8" s="6" t="s">
        <v>26</v>
      </c>
      <c r="C8" s="4">
        <f>C7*Fizibilite!$C27</f>
        <v>13252.5</v>
      </c>
      <c r="D8" s="4">
        <f>D7*Fizibilite!$C27</f>
        <v>11970</v>
      </c>
      <c r="E8" s="4">
        <f>E7*Fizibilite!$C27</f>
        <v>13252.5</v>
      </c>
      <c r="F8" s="4">
        <f>F7*Fizibilite!$C27</f>
        <v>12825</v>
      </c>
      <c r="G8" s="4">
        <f>G7*Fizibilite!$C27</f>
        <v>13252.5</v>
      </c>
      <c r="H8" s="4">
        <f>H7*Fizibilite!$C27</f>
        <v>12825</v>
      </c>
      <c r="I8" s="4">
        <f>I7*Fizibilite!$C27</f>
        <v>13252.5</v>
      </c>
      <c r="J8" s="4">
        <f>J7*Fizibilite!$C27</f>
        <v>13252.5</v>
      </c>
      <c r="K8" s="4">
        <f>K7*Fizibilite!$C27</f>
        <v>12825</v>
      </c>
      <c r="L8" s="4">
        <f>L7*Fizibilite!$C27</f>
        <v>13252.5</v>
      </c>
      <c r="M8" s="4">
        <f>M7*Fizibilite!$C27</f>
        <v>12825</v>
      </c>
      <c r="N8" s="4">
        <f>N7*Fizibilite!$C27</f>
        <v>13252.5</v>
      </c>
    </row>
    <row r="9" spans="1:16" x14ac:dyDescent="0.3">
      <c r="B9" s="6" t="s">
        <v>25</v>
      </c>
      <c r="C9" s="9">
        <f t="shared" ref="C9:N9" si="1">C8/$A$1</f>
        <v>13.2525</v>
      </c>
      <c r="D9" s="9">
        <f t="shared" si="1"/>
        <v>11.97</v>
      </c>
      <c r="E9" s="9">
        <f t="shared" si="1"/>
        <v>13.2525</v>
      </c>
      <c r="F9" s="9">
        <f t="shared" si="1"/>
        <v>12.824999999999999</v>
      </c>
      <c r="G9" s="9">
        <f t="shared" si="1"/>
        <v>13.2525</v>
      </c>
      <c r="H9" s="9">
        <f t="shared" si="1"/>
        <v>12.824999999999999</v>
      </c>
      <c r="I9" s="9">
        <f t="shared" si="1"/>
        <v>13.2525</v>
      </c>
      <c r="J9" s="9">
        <f t="shared" si="1"/>
        <v>13.2525</v>
      </c>
      <c r="K9" s="9">
        <f t="shared" si="1"/>
        <v>12.824999999999999</v>
      </c>
      <c r="L9" s="9">
        <f t="shared" si="1"/>
        <v>13.2525</v>
      </c>
      <c r="M9" s="9">
        <f t="shared" si="1"/>
        <v>12.824999999999999</v>
      </c>
      <c r="N9" s="9">
        <f t="shared" si="1"/>
        <v>13.2525</v>
      </c>
    </row>
    <row r="11" spans="1:16" x14ac:dyDescent="0.3">
      <c r="B11" s="6" t="s">
        <v>40</v>
      </c>
      <c r="C11" s="4">
        <f>Fizibilite!$C$15</f>
        <v>242.39753195240192</v>
      </c>
      <c r="D11" s="4">
        <f>Fizibilite!$C$15</f>
        <v>242.39753195240192</v>
      </c>
      <c r="E11" s="4">
        <f>Fizibilite!$C$15</f>
        <v>242.39753195240192</v>
      </c>
      <c r="F11" s="4">
        <f>Fizibilite!$C$15</f>
        <v>242.39753195240192</v>
      </c>
      <c r="G11" s="4">
        <f>Fizibilite!$C$15</f>
        <v>242.39753195240192</v>
      </c>
      <c r="H11" s="4">
        <f>Fizibilite!$C$15</f>
        <v>242.39753195240192</v>
      </c>
      <c r="I11" s="4">
        <f>Fizibilite!$C$15</f>
        <v>242.39753195240192</v>
      </c>
      <c r="J11" s="4">
        <f>Fizibilite!$C$15</f>
        <v>242.39753195240192</v>
      </c>
      <c r="K11" s="4">
        <f>Fizibilite!$C$15</f>
        <v>242.39753195240192</v>
      </c>
      <c r="L11" s="4">
        <f>Fizibilite!$C$15</f>
        <v>242.39753195240192</v>
      </c>
      <c r="M11" s="4">
        <f>Fizibilite!$C$15</f>
        <v>242.39753195240192</v>
      </c>
      <c r="N11" s="4">
        <f>Fizibilite!$C$15</f>
        <v>242.39753195240192</v>
      </c>
    </row>
    <row r="12" spans="1:16" x14ac:dyDescent="0.3">
      <c r="B12" s="6" t="s">
        <v>43</v>
      </c>
      <c r="C12" s="4">
        <f t="shared" ref="C12:N12" si="2">C9*C11</f>
        <v>3212.3732921992064</v>
      </c>
      <c r="D12" s="4">
        <f t="shared" si="2"/>
        <v>2901.4984574702512</v>
      </c>
      <c r="E12" s="4">
        <f t="shared" si="2"/>
        <v>3212.3732921992064</v>
      </c>
      <c r="F12" s="4">
        <f t="shared" si="2"/>
        <v>3108.7483472895547</v>
      </c>
      <c r="G12" s="4">
        <f t="shared" si="2"/>
        <v>3212.3732921992064</v>
      </c>
      <c r="H12" s="4">
        <f t="shared" si="2"/>
        <v>3108.7483472895547</v>
      </c>
      <c r="I12" s="4">
        <f t="shared" si="2"/>
        <v>3212.3732921992064</v>
      </c>
      <c r="J12" s="4">
        <f t="shared" si="2"/>
        <v>3212.3732921992064</v>
      </c>
      <c r="K12" s="4">
        <f t="shared" si="2"/>
        <v>3108.7483472895547</v>
      </c>
      <c r="L12" s="4">
        <f t="shared" si="2"/>
        <v>3212.3732921992064</v>
      </c>
      <c r="M12" s="4">
        <f t="shared" si="2"/>
        <v>3108.7483472895547</v>
      </c>
      <c r="N12" s="4">
        <f t="shared" si="2"/>
        <v>3212.3732921992064</v>
      </c>
    </row>
    <row r="13" spans="1:16" x14ac:dyDescent="0.3"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 x14ac:dyDescent="0.3">
      <c r="B14" s="6" t="s">
        <v>45</v>
      </c>
      <c r="C14" s="4">
        <f>C12*Fizibilite!$C$9</f>
        <v>481.85599382988096</v>
      </c>
      <c r="D14" s="4">
        <f>D12*Fizibilite!$C$9</f>
        <v>435.22476862053765</v>
      </c>
      <c r="E14" s="4">
        <f>E12*Fizibilite!$C$9</f>
        <v>481.85599382988096</v>
      </c>
      <c r="F14" s="4">
        <f>F12*Fizibilite!$C$9</f>
        <v>466.31225209343319</v>
      </c>
      <c r="G14" s="4">
        <f>G12*Fizibilite!$C$9</f>
        <v>481.85599382988096</v>
      </c>
      <c r="H14" s="4">
        <f>H12*Fizibilite!$C$9</f>
        <v>466.31225209343319</v>
      </c>
      <c r="I14" s="4">
        <f>I12*Fizibilite!$C$9</f>
        <v>481.85599382988096</v>
      </c>
      <c r="J14" s="4">
        <f>J12*Fizibilite!$C$9</f>
        <v>481.85599382988096</v>
      </c>
      <c r="K14" s="4">
        <f>K12*Fizibilite!$C$9</f>
        <v>466.31225209343319</v>
      </c>
      <c r="L14" s="4">
        <f>L12*Fizibilite!$C$9</f>
        <v>481.85599382988096</v>
      </c>
      <c r="M14" s="4">
        <f>M12*Fizibilite!$C$9</f>
        <v>466.31225209343319</v>
      </c>
      <c r="N14" s="4">
        <f>N12*Fizibilite!$C$9</f>
        <v>481.85599382988096</v>
      </c>
    </row>
    <row r="15" spans="1:16" x14ac:dyDescent="0.3">
      <c r="B15" s="6" t="s">
        <v>57</v>
      </c>
      <c r="C15" s="4">
        <f>Fizibilite!$C$11</f>
        <v>74.922873512560599</v>
      </c>
      <c r="D15" s="4">
        <f>Fizibilite!$C$11</f>
        <v>74.922873512560599</v>
      </c>
      <c r="E15" s="4">
        <f>Fizibilite!$C$11</f>
        <v>74.922873512560599</v>
      </c>
      <c r="F15" s="4">
        <f>Fizibilite!$C$11</f>
        <v>74.922873512560599</v>
      </c>
      <c r="G15" s="4">
        <f>Fizibilite!$C$11</f>
        <v>74.922873512560599</v>
      </c>
      <c r="H15" s="4">
        <f>Fizibilite!$C$11</f>
        <v>74.922873512560599</v>
      </c>
      <c r="I15" s="4">
        <f>Fizibilite!$C$11</f>
        <v>74.922873512560599</v>
      </c>
      <c r="J15" s="4">
        <f>Fizibilite!$C$11</f>
        <v>74.922873512560599</v>
      </c>
      <c r="K15" s="4">
        <f>Fizibilite!$C$11</f>
        <v>74.922873512560599</v>
      </c>
      <c r="L15" s="4">
        <f>Fizibilite!$C$11</f>
        <v>74.922873512560599</v>
      </c>
      <c r="M15" s="4">
        <f>Fizibilite!$C$11</f>
        <v>74.922873512560599</v>
      </c>
      <c r="N15" s="4">
        <f>Fizibilite!$C$11</f>
        <v>74.922873512560599</v>
      </c>
    </row>
    <row r="16" spans="1:16" x14ac:dyDescent="0.3">
      <c r="B16" s="6" t="s">
        <v>46</v>
      </c>
      <c r="C16" s="4">
        <f>C12-C14-C15</f>
        <v>2655.5944248567648</v>
      </c>
      <c r="D16" s="4">
        <f t="shared" ref="D16:N16" si="3">D12-D14-D15</f>
        <v>2391.3508153371527</v>
      </c>
      <c r="E16" s="4">
        <f t="shared" si="3"/>
        <v>2655.5944248567648</v>
      </c>
      <c r="F16" s="4">
        <f t="shared" si="3"/>
        <v>2567.5132216835609</v>
      </c>
      <c r="G16" s="4">
        <f t="shared" si="3"/>
        <v>2655.5944248567648</v>
      </c>
      <c r="H16" s="4">
        <f t="shared" si="3"/>
        <v>2567.5132216835609</v>
      </c>
      <c r="I16" s="4">
        <f t="shared" si="3"/>
        <v>2655.5944248567648</v>
      </c>
      <c r="J16" s="4">
        <f t="shared" si="3"/>
        <v>2655.5944248567648</v>
      </c>
      <c r="K16" s="4">
        <f t="shared" si="3"/>
        <v>2567.5132216835609</v>
      </c>
      <c r="L16" s="4">
        <f t="shared" si="3"/>
        <v>2655.5944248567648</v>
      </c>
      <c r="M16" s="4">
        <f t="shared" si="3"/>
        <v>2567.5132216835609</v>
      </c>
      <c r="N16" s="4">
        <f t="shared" si="3"/>
        <v>2655.5944248567648</v>
      </c>
    </row>
    <row r="18" spans="2:22" x14ac:dyDescent="0.3">
      <c r="B18" s="6" t="s">
        <v>41</v>
      </c>
      <c r="C18" s="4">
        <f>Fizibilite!$C$17</f>
        <v>154.25297487880121</v>
      </c>
      <c r="D18" s="4">
        <f>Fizibilite!$C$17</f>
        <v>154.25297487880121</v>
      </c>
      <c r="E18" s="4">
        <f>Fizibilite!$C$17</f>
        <v>154.25297487880121</v>
      </c>
      <c r="F18" s="4">
        <f>Fizibilite!$C$17</f>
        <v>154.25297487880121</v>
      </c>
      <c r="G18" s="4">
        <f>Fizibilite!$C$17</f>
        <v>154.25297487880121</v>
      </c>
      <c r="H18" s="4">
        <f>Fizibilite!$C$17</f>
        <v>154.25297487880121</v>
      </c>
      <c r="I18" s="4">
        <f>Fizibilite!$C$17</f>
        <v>154.25297487880121</v>
      </c>
      <c r="J18" s="4">
        <f>Fizibilite!$C$17</f>
        <v>154.25297487880121</v>
      </c>
      <c r="K18" s="4">
        <f>Fizibilite!$C$17</f>
        <v>154.25297487880121</v>
      </c>
      <c r="L18" s="4">
        <f>Fizibilite!$C$17</f>
        <v>154.25297487880121</v>
      </c>
      <c r="M18" s="4">
        <f>Fizibilite!$C$17</f>
        <v>154.25297487880121</v>
      </c>
      <c r="N18" s="4">
        <f>Fizibilite!$C$17</f>
        <v>154.25297487880121</v>
      </c>
    </row>
    <row r="19" spans="2:22" x14ac:dyDescent="0.3">
      <c r="B19" s="2" t="s">
        <v>44</v>
      </c>
      <c r="C19" s="4">
        <f t="shared" ref="C19:N19" si="4">C9*C18</f>
        <v>2044.237549581313</v>
      </c>
      <c r="D19" s="4">
        <f t="shared" si="4"/>
        <v>1846.4081092992506</v>
      </c>
      <c r="E19" s="4">
        <f t="shared" si="4"/>
        <v>2044.237549581313</v>
      </c>
      <c r="F19" s="4">
        <f t="shared" si="4"/>
        <v>1978.2944028206255</v>
      </c>
      <c r="G19" s="4">
        <f t="shared" si="4"/>
        <v>2044.237549581313</v>
      </c>
      <c r="H19" s="4">
        <f t="shared" si="4"/>
        <v>1978.2944028206255</v>
      </c>
      <c r="I19" s="4">
        <f t="shared" si="4"/>
        <v>2044.237549581313</v>
      </c>
      <c r="J19" s="4">
        <f t="shared" si="4"/>
        <v>2044.237549581313</v>
      </c>
      <c r="K19" s="4">
        <f t="shared" si="4"/>
        <v>1978.2944028206255</v>
      </c>
      <c r="L19" s="4">
        <f t="shared" si="4"/>
        <v>2044.237549581313</v>
      </c>
      <c r="M19" s="4">
        <f t="shared" si="4"/>
        <v>1978.2944028206255</v>
      </c>
      <c r="N19" s="4">
        <f t="shared" si="4"/>
        <v>2044.237549581313</v>
      </c>
    </row>
    <row r="21" spans="2:22" x14ac:dyDescent="0.3">
      <c r="B21" s="6" t="s">
        <v>42</v>
      </c>
      <c r="C21" s="4">
        <f t="shared" ref="C21:N21" si="5">C16-C19</f>
        <v>611.35687527545178</v>
      </c>
      <c r="D21" s="4">
        <f t="shared" si="5"/>
        <v>544.9427060379021</v>
      </c>
      <c r="E21" s="4">
        <f t="shared" si="5"/>
        <v>611.35687527545178</v>
      </c>
      <c r="F21" s="4">
        <f t="shared" si="5"/>
        <v>589.21881886293545</v>
      </c>
      <c r="G21" s="4">
        <f t="shared" si="5"/>
        <v>611.35687527545178</v>
      </c>
      <c r="H21" s="4">
        <f t="shared" si="5"/>
        <v>589.21881886293545</v>
      </c>
      <c r="I21" s="4">
        <f t="shared" si="5"/>
        <v>611.35687527545178</v>
      </c>
      <c r="J21" s="4">
        <f t="shared" si="5"/>
        <v>611.35687527545178</v>
      </c>
      <c r="K21" s="4">
        <f t="shared" si="5"/>
        <v>589.21881886293545</v>
      </c>
      <c r="L21" s="4">
        <f t="shared" si="5"/>
        <v>611.35687527545178</v>
      </c>
      <c r="M21" s="4">
        <f t="shared" si="5"/>
        <v>589.21881886293545</v>
      </c>
      <c r="N21" s="4">
        <f t="shared" si="5"/>
        <v>611.35687527545178</v>
      </c>
      <c r="O21" s="14" t="s">
        <v>28</v>
      </c>
      <c r="P21" s="14" t="s">
        <v>29</v>
      </c>
      <c r="Q21" s="14" t="s">
        <v>27</v>
      </c>
    </row>
    <row r="22" spans="2:22" x14ac:dyDescent="0.3">
      <c r="O22" s="10">
        <f>SUM(C21:N21)</f>
        <v>7181.3161084178055</v>
      </c>
      <c r="P22" s="10">
        <f>Fizibilite!C8</f>
        <v>121302.33583076244</v>
      </c>
      <c r="Q22" s="12">
        <f>P22/O22</f>
        <v>16.891379518661502</v>
      </c>
    </row>
    <row r="23" spans="2:22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5" spans="2:22" x14ac:dyDescent="0.3">
      <c r="B25" s="6"/>
    </row>
    <row r="26" spans="2:22" x14ac:dyDescent="0.3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22" x14ac:dyDescent="0.3">
      <c r="C27" s="7"/>
    </row>
    <row r="28" spans="2:22" x14ac:dyDescent="0.3">
      <c r="C28" s="7"/>
      <c r="R28" s="5"/>
      <c r="S28" s="5"/>
      <c r="T28" s="5"/>
      <c r="U28" s="5"/>
      <c r="V28" s="5"/>
    </row>
    <row r="29" spans="2:22" x14ac:dyDescent="0.3">
      <c r="C29" s="7"/>
      <c r="N29" s="4"/>
      <c r="O29" s="4"/>
      <c r="P29" s="4"/>
      <c r="Q29" s="4"/>
      <c r="R29" s="4"/>
      <c r="S29" s="4"/>
      <c r="T29" s="4"/>
      <c r="U29" s="4"/>
      <c r="V29" s="4"/>
    </row>
    <row r="30" spans="2:22" x14ac:dyDescent="0.3">
      <c r="C30" s="7"/>
      <c r="N30" s="4"/>
      <c r="O30" s="4"/>
      <c r="P30" s="4"/>
      <c r="Q30" s="4"/>
      <c r="R30" s="4"/>
      <c r="S30" s="4"/>
      <c r="T30" s="4"/>
      <c r="U30" s="4"/>
      <c r="V30" s="4"/>
    </row>
    <row r="31" spans="2:22" x14ac:dyDescent="0.3">
      <c r="C31" s="7"/>
      <c r="N31" s="4"/>
      <c r="O31" s="4"/>
      <c r="P31" s="4"/>
      <c r="Q31" s="4"/>
      <c r="R31" s="4"/>
      <c r="S31" s="4"/>
      <c r="T31" s="4"/>
      <c r="U31" s="4"/>
      <c r="V31" s="4"/>
    </row>
    <row r="32" spans="2:22" x14ac:dyDescent="0.3">
      <c r="C32" s="7"/>
      <c r="N32" s="4"/>
      <c r="O32" s="4"/>
      <c r="P32" s="4"/>
      <c r="Q32" s="4"/>
      <c r="R32" s="4"/>
      <c r="S32" s="4"/>
      <c r="T32" s="4"/>
      <c r="U32" s="4"/>
      <c r="V32" s="4"/>
    </row>
    <row r="33" spans="3:22" x14ac:dyDescent="0.3">
      <c r="C33" s="7"/>
      <c r="N33" s="4"/>
      <c r="O33" s="4"/>
      <c r="P33" s="4"/>
      <c r="Q33" s="4"/>
      <c r="R33" s="4"/>
      <c r="S33" s="4"/>
      <c r="T33" s="4"/>
      <c r="U33" s="4"/>
      <c r="V33" s="4"/>
    </row>
    <row r="34" spans="3:22" x14ac:dyDescent="0.3">
      <c r="N34" s="4"/>
      <c r="O34" s="4"/>
      <c r="P34" s="4"/>
      <c r="Q34" s="4"/>
      <c r="R34" s="4"/>
      <c r="S34" s="4"/>
      <c r="T34" s="4"/>
      <c r="U34" s="4"/>
      <c r="V34" s="4"/>
    </row>
    <row r="35" spans="3:22" x14ac:dyDescent="0.3">
      <c r="N35" s="4"/>
      <c r="O35" s="4"/>
      <c r="P35" s="4"/>
      <c r="Q35" s="4"/>
      <c r="R35" s="4"/>
      <c r="S35" s="4"/>
      <c r="T35" s="4"/>
      <c r="U35" s="4"/>
      <c r="V35" s="4"/>
    </row>
    <row r="36" spans="3:22" x14ac:dyDescent="0.3">
      <c r="N36" s="4"/>
      <c r="O36" s="4"/>
      <c r="P36" s="4"/>
      <c r="Q36" s="4"/>
      <c r="R36" s="4"/>
      <c r="S36" s="4"/>
      <c r="T36" s="4"/>
      <c r="U36" s="4"/>
      <c r="V36" s="1"/>
    </row>
    <row r="37" spans="3:22" x14ac:dyDescent="0.3">
      <c r="N37" s="4"/>
      <c r="O37" s="4"/>
      <c r="P37" s="4"/>
      <c r="Q37" s="4"/>
      <c r="R37" s="4"/>
      <c r="S37" s="4"/>
      <c r="T37" s="4"/>
      <c r="U37" s="4"/>
      <c r="V37" s="1"/>
    </row>
    <row r="38" spans="3:22" x14ac:dyDescent="0.3">
      <c r="N38" s="4"/>
      <c r="O38" s="4"/>
      <c r="P38" s="4"/>
      <c r="Q38" s="4"/>
      <c r="R38" s="4"/>
      <c r="S38" s="4"/>
      <c r="T38" s="4"/>
      <c r="U38" s="4"/>
      <c r="V38" s="1"/>
    </row>
    <row r="39" spans="3:22" x14ac:dyDescent="0.3">
      <c r="N39" s="4"/>
      <c r="O39" s="4"/>
      <c r="P39" s="4"/>
      <c r="Q39" s="4"/>
      <c r="R39" s="4"/>
      <c r="S39" s="4"/>
      <c r="T39" s="4"/>
      <c r="U39" s="4"/>
      <c r="V39" s="1"/>
    </row>
    <row r="40" spans="3:22" x14ac:dyDescent="0.3">
      <c r="N40" s="4"/>
      <c r="O40" s="4"/>
      <c r="P40" s="4"/>
      <c r="Q40" s="4"/>
      <c r="R40" s="4"/>
      <c r="S40" s="4"/>
      <c r="T40" s="4"/>
      <c r="U40" s="4"/>
      <c r="V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2985-4532-49E5-927E-161CA212957E}">
  <dimension ref="A1:H33"/>
  <sheetViews>
    <sheetView tabSelected="1" workbookViewId="0"/>
  </sheetViews>
  <sheetFormatPr defaultRowHeight="14.4" x14ac:dyDescent="0.3"/>
  <cols>
    <col min="1" max="1" width="34.77734375" customWidth="1"/>
    <col min="2" max="8" width="15.77734375" customWidth="1"/>
  </cols>
  <sheetData>
    <row r="1" spans="1:8" x14ac:dyDescent="0.3">
      <c r="A1" s="31" t="s">
        <v>79</v>
      </c>
    </row>
    <row r="2" spans="1:8" x14ac:dyDescent="0.3">
      <c r="A2" t="s">
        <v>94</v>
      </c>
    </row>
    <row r="4" spans="1:8" x14ac:dyDescent="0.3">
      <c r="A4" s="31" t="s">
        <v>78</v>
      </c>
    </row>
    <row r="5" spans="1:8" x14ac:dyDescent="0.3">
      <c r="A5" s="31" t="s">
        <v>80</v>
      </c>
      <c r="B5" s="32">
        <f>Fizibilite!C8</f>
        <v>121302.33583076244</v>
      </c>
    </row>
    <row r="6" spans="1:8" x14ac:dyDescent="0.3">
      <c r="A6" s="31" t="s">
        <v>81</v>
      </c>
      <c r="B6" s="32">
        <f>'Yatırım Geri Dönüş'!O22</f>
        <v>7181.3161084178055</v>
      </c>
    </row>
    <row r="7" spans="1:8" x14ac:dyDescent="0.3">
      <c r="A7" s="31" t="s">
        <v>82</v>
      </c>
      <c r="B7" s="33">
        <f>Fizibilite!C29</f>
        <v>0.2</v>
      </c>
    </row>
    <row r="8" spans="1:8" x14ac:dyDescent="0.3">
      <c r="A8" s="31" t="s">
        <v>83</v>
      </c>
      <c r="B8" s="32">
        <f>Fizibilite!C31</f>
        <v>1200</v>
      </c>
    </row>
    <row r="9" spans="1:8" x14ac:dyDescent="0.3">
      <c r="A9" s="31" t="s">
        <v>84</v>
      </c>
      <c r="B9">
        <v>2</v>
      </c>
    </row>
    <row r="10" spans="1:8" x14ac:dyDescent="0.3">
      <c r="A10" s="31" t="s">
        <v>85</v>
      </c>
      <c r="B10" s="33">
        <f>Fizibilite!C22</f>
        <v>0.05</v>
      </c>
    </row>
    <row r="11" spans="1:8" x14ac:dyDescent="0.3">
      <c r="A11" s="31" t="s">
        <v>86</v>
      </c>
      <c r="B11">
        <v>0.1</v>
      </c>
    </row>
    <row r="14" spans="1:8" x14ac:dyDescent="0.3">
      <c r="A14" s="31" t="s">
        <v>87</v>
      </c>
      <c r="B14" s="31" t="s">
        <v>95</v>
      </c>
      <c r="C14" s="31" t="s">
        <v>96</v>
      </c>
      <c r="D14" s="31" t="s">
        <v>97</v>
      </c>
      <c r="E14" s="31" t="s">
        <v>98</v>
      </c>
      <c r="F14" s="31" t="s">
        <v>88</v>
      </c>
      <c r="G14" s="31" t="s">
        <v>99</v>
      </c>
      <c r="H14" s="31" t="s">
        <v>100</v>
      </c>
    </row>
    <row r="15" spans="1:8" x14ac:dyDescent="0.3">
      <c r="A15" t="s">
        <v>89</v>
      </c>
      <c r="E15" s="32">
        <f>-B5</f>
        <v>-121302.33583076244</v>
      </c>
      <c r="F15">
        <v>1</v>
      </c>
      <c r="G15">
        <f t="shared" ref="G15:G25" si="0">E15*F15</f>
        <v>-121302.33583076244</v>
      </c>
      <c r="H15">
        <f>G15</f>
        <v>-121302.33583076244</v>
      </c>
    </row>
    <row r="16" spans="1:8" x14ac:dyDescent="0.3">
      <c r="A16">
        <v>2026</v>
      </c>
      <c r="B16">
        <f>$B$6*(1+$B$10)^(1-1)</f>
        <v>7181.3161084178055</v>
      </c>
      <c r="C16">
        <f t="shared" ref="C16:C25" si="1">B16*$B$7</f>
        <v>1436.2632216835611</v>
      </c>
      <c r="D16">
        <f>IF(1&lt;=$B$9,0,$B$8*(1+$B$10)^(1-1))</f>
        <v>0</v>
      </c>
      <c r="E16">
        <f t="shared" ref="E16:E25" si="2">B16-C16-D16</f>
        <v>5745.0528867342446</v>
      </c>
      <c r="F16">
        <f>1/(1+$B$11)^1</f>
        <v>0.90909090909090906</v>
      </c>
      <c r="G16">
        <f t="shared" si="0"/>
        <v>5222.7753515765862</v>
      </c>
      <c r="H16">
        <f t="shared" ref="H16:H25" si="3">H15+G16</f>
        <v>-116079.56047918586</v>
      </c>
    </row>
    <row r="17" spans="1:8" x14ac:dyDescent="0.3">
      <c r="A17">
        <v>2027</v>
      </c>
      <c r="B17">
        <f>$B$6*(1+$B$10)^(2-1)</f>
        <v>7540.3819138386962</v>
      </c>
      <c r="C17">
        <f t="shared" si="1"/>
        <v>1508.0763827677392</v>
      </c>
      <c r="D17">
        <f>IF(2&lt;=$B$9,0,$B$8*(1+$B$10)^(2-1))</f>
        <v>0</v>
      </c>
      <c r="E17">
        <f t="shared" si="2"/>
        <v>6032.3055310709569</v>
      </c>
      <c r="F17">
        <f>1/(1+$B$11)^2</f>
        <v>0.82644628099173545</v>
      </c>
      <c r="G17">
        <f t="shared" si="0"/>
        <v>4985.3764719594683</v>
      </c>
      <c r="H17">
        <f t="shared" si="3"/>
        <v>-111094.1840072264</v>
      </c>
    </row>
    <row r="18" spans="1:8" x14ac:dyDescent="0.3">
      <c r="A18">
        <v>2028</v>
      </c>
      <c r="B18">
        <f>$B$6*(1+$B$10)^(3-1)</f>
        <v>7917.4010095306312</v>
      </c>
      <c r="C18">
        <f t="shared" si="1"/>
        <v>1583.4802019061262</v>
      </c>
      <c r="D18">
        <f>IF(3&lt;=$B$9,0,$B$8*(1+$B$10)^(3-1))</f>
        <v>1323</v>
      </c>
      <c r="E18">
        <f t="shared" si="2"/>
        <v>5010.920807624505</v>
      </c>
      <c r="F18">
        <f>1/(1+$B$11)^3</f>
        <v>0.75131480090157754</v>
      </c>
      <c r="G18">
        <f t="shared" si="0"/>
        <v>3764.7789689139772</v>
      </c>
      <c r="H18">
        <f t="shared" si="3"/>
        <v>-107329.40503831243</v>
      </c>
    </row>
    <row r="19" spans="1:8" x14ac:dyDescent="0.3">
      <c r="A19">
        <v>2029</v>
      </c>
      <c r="B19">
        <f>$B$6*(1+$B$10)^(4-1)</f>
        <v>8313.2710600071623</v>
      </c>
      <c r="C19">
        <f t="shared" si="1"/>
        <v>1662.6542120014326</v>
      </c>
      <c r="D19">
        <f>IF(4&lt;=$B$9,0,$B$8*(1+$B$10)^(4-1))</f>
        <v>1389.15</v>
      </c>
      <c r="E19">
        <f t="shared" si="2"/>
        <v>5261.4668480057298</v>
      </c>
      <c r="F19">
        <f>1/(1+$B$11)^4</f>
        <v>0.68301345536507052</v>
      </c>
      <c r="G19">
        <f t="shared" si="0"/>
        <v>3593.6526521451597</v>
      </c>
      <c r="H19">
        <f t="shared" si="3"/>
        <v>-103735.75238616727</v>
      </c>
    </row>
    <row r="20" spans="1:8" x14ac:dyDescent="0.3">
      <c r="A20">
        <v>2030</v>
      </c>
      <c r="B20">
        <f>$B$6*(1+$B$10)^(5-1)</f>
        <v>8728.934613007521</v>
      </c>
      <c r="C20">
        <f t="shared" si="1"/>
        <v>1745.7869226015043</v>
      </c>
      <c r="D20">
        <f>IF(5&lt;=$B$9,0,$B$8*(1+$B$10)^(5-1))</f>
        <v>1458.6075000000001</v>
      </c>
      <c r="E20">
        <f t="shared" si="2"/>
        <v>5524.5401904060163</v>
      </c>
      <c r="F20">
        <f>1/(1+$B$11)^5</f>
        <v>0.62092132305915493</v>
      </c>
      <c r="G20">
        <f t="shared" si="0"/>
        <v>3430.3048043203794</v>
      </c>
      <c r="H20">
        <f t="shared" si="3"/>
        <v>-100305.44758184689</v>
      </c>
    </row>
    <row r="21" spans="1:8" x14ac:dyDescent="0.3">
      <c r="A21">
        <v>2031</v>
      </c>
      <c r="B21">
        <f>$B$6*(1+$B$10)^(6-1)</f>
        <v>9165.3813436578967</v>
      </c>
      <c r="C21">
        <f t="shared" si="1"/>
        <v>1833.0762687315794</v>
      </c>
      <c r="D21">
        <f>IF(6&lt;=$B$9,0,$B$8*(1+$B$10)^(6-1))</f>
        <v>1531.5378750000002</v>
      </c>
      <c r="E21">
        <f t="shared" si="2"/>
        <v>5800.7671999263175</v>
      </c>
      <c r="F21">
        <f>1/(1+$B$11)^6</f>
        <v>0.56447393005377722</v>
      </c>
      <c r="G21">
        <f t="shared" si="0"/>
        <v>3274.3818586694533</v>
      </c>
      <c r="H21">
        <f t="shared" si="3"/>
        <v>-97031.065723177438</v>
      </c>
    </row>
    <row r="22" spans="1:8" x14ac:dyDescent="0.3">
      <c r="A22">
        <v>2032</v>
      </c>
      <c r="B22">
        <f>$B$6*(1+$B$10)^(7-1)</f>
        <v>9623.6504108407917</v>
      </c>
      <c r="C22">
        <f t="shared" si="1"/>
        <v>1924.7300821681583</v>
      </c>
      <c r="D22">
        <f>IF(7&lt;=$B$9,0,$B$8*(1+$B$10)^(7-1))</f>
        <v>1608.1147687499999</v>
      </c>
      <c r="E22">
        <f t="shared" si="2"/>
        <v>6090.8055599226336</v>
      </c>
      <c r="F22">
        <f>1/(1+$B$11)^7</f>
        <v>0.51315811823070645</v>
      </c>
      <c r="G22">
        <f t="shared" si="0"/>
        <v>3125.5463196390228</v>
      </c>
      <c r="H22">
        <f t="shared" si="3"/>
        <v>-93905.519403538419</v>
      </c>
    </row>
    <row r="23" spans="1:8" x14ac:dyDescent="0.3">
      <c r="A23">
        <v>2033</v>
      </c>
      <c r="B23">
        <f>$B$6*(1+$B$10)^(8-1)</f>
        <v>10104.832931382833</v>
      </c>
      <c r="C23">
        <f t="shared" si="1"/>
        <v>2020.9665862765667</v>
      </c>
      <c r="D23">
        <f>IF(8&lt;=$B$9,0,$B$8*(1+$B$10)^(8-1))</f>
        <v>1688.5205071875002</v>
      </c>
      <c r="E23">
        <f t="shared" si="2"/>
        <v>6395.345837918765</v>
      </c>
      <c r="F23">
        <f>1/(1+$B$11)^8</f>
        <v>0.46650738020973315</v>
      </c>
      <c r="G23">
        <f t="shared" si="0"/>
        <v>2983.4760323827036</v>
      </c>
      <c r="H23">
        <f t="shared" si="3"/>
        <v>-90922.043371155713</v>
      </c>
    </row>
    <row r="24" spans="1:8" x14ac:dyDescent="0.3">
      <c r="A24">
        <v>2034</v>
      </c>
      <c r="B24">
        <f>$B$6*(1+$B$10)^(9-1)</f>
        <v>10610.074577951973</v>
      </c>
      <c r="C24">
        <f t="shared" si="1"/>
        <v>2122.0149155903946</v>
      </c>
      <c r="D24">
        <f>IF(9&lt;=$B$9,0,$B$8*(1+$B$10)^(9-1))</f>
        <v>1772.946532546875</v>
      </c>
      <c r="E24">
        <f t="shared" si="2"/>
        <v>6715.1131298147029</v>
      </c>
      <c r="F24">
        <f>1/(1+$B$11)^9</f>
        <v>0.42409761837248466</v>
      </c>
      <c r="G24">
        <f t="shared" si="0"/>
        <v>2847.8634854562169</v>
      </c>
      <c r="H24">
        <f t="shared" si="3"/>
        <v>-88074.179885699501</v>
      </c>
    </row>
    <row r="25" spans="1:8" x14ac:dyDescent="0.3">
      <c r="A25">
        <v>2035</v>
      </c>
      <c r="B25">
        <f>$B$6*(1+$B$10)^(10-1)</f>
        <v>11140.578306849571</v>
      </c>
      <c r="C25">
        <f t="shared" si="1"/>
        <v>2228.1156613699145</v>
      </c>
      <c r="D25">
        <f>IF(10&lt;=$B$9,0,$B$8*(1+$B$10)^(10-1))</f>
        <v>1861.593859174219</v>
      </c>
      <c r="E25">
        <f t="shared" si="2"/>
        <v>7050.8687863054374</v>
      </c>
      <c r="F25">
        <f>1/(1+$B$11)^10</f>
        <v>0.38554328942953148</v>
      </c>
      <c r="G25">
        <f t="shared" si="0"/>
        <v>2718.4151452082065</v>
      </c>
      <c r="H25">
        <f t="shared" si="3"/>
        <v>-85355.7647404913</v>
      </c>
    </row>
    <row r="27" spans="1:8" x14ac:dyDescent="0.3">
      <c r="A27" s="31" t="s">
        <v>90</v>
      </c>
    </row>
    <row r="28" spans="1:8" x14ac:dyDescent="0.3">
      <c r="A28" s="31" t="s">
        <v>101</v>
      </c>
      <c r="B28">
        <f>SUM(G15:G25)</f>
        <v>-85355.7647404913</v>
      </c>
    </row>
    <row r="29" spans="1:8" x14ac:dyDescent="0.3">
      <c r="A29" s="31" t="s">
        <v>91</v>
      </c>
      <c r="B29" s="33">
        <f>IRR(E15:E25)</f>
        <v>-0.10822560333411024</v>
      </c>
    </row>
    <row r="30" spans="1:8" x14ac:dyDescent="0.3">
      <c r="A30" s="31" t="s">
        <v>92</v>
      </c>
      <c r="B30">
        <f>SUM(E16:E25)</f>
        <v>59627.186777729308</v>
      </c>
    </row>
    <row r="31" spans="1:8" x14ac:dyDescent="0.3">
      <c r="A31" s="31" t="s">
        <v>93</v>
      </c>
      <c r="B31" s="34">
        <f>'Yatırım Geri Dönüş'!Q22</f>
        <v>16.891379518661502</v>
      </c>
    </row>
    <row r="32" spans="1:8" x14ac:dyDescent="0.3">
      <c r="A32" s="31" t="s">
        <v>102</v>
      </c>
      <c r="B32">
        <f>H25</f>
        <v>-85355.7647404913</v>
      </c>
    </row>
    <row r="33" spans="1:1" x14ac:dyDescent="0.3">
      <c r="A33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Fizibilite</vt:lpstr>
      <vt:lpstr>Yatırım Geri Dönüş</vt:lpstr>
      <vt:lpstr>Düzeltilmiş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 Eğlen</dc:creator>
  <cp:lastModifiedBy>Yusuf Balcı</cp:lastModifiedBy>
  <cp:lastPrinted>2026-05-18T14:57:03Z</cp:lastPrinted>
  <dcterms:created xsi:type="dcterms:W3CDTF">2015-06-05T18:19:34Z</dcterms:created>
  <dcterms:modified xsi:type="dcterms:W3CDTF">2026-06-10T06:02:52Z</dcterms:modified>
</cp:coreProperties>
</file>